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4b0b4b933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c330c1603dd24827"/>
    <x:sheet xmlns:r="http://schemas.openxmlformats.org/officeDocument/2006/relationships" name="Apoio" sheetId="2" r:id="R4b69b5411eba4826"/>
  </x:sheets>
  <x:definedNames>
    <x:definedName name="salario">'Simulador'!$E$7</x:definedName>
    <x:definedName name="aporte">'Simulador'!$E$8</x:definedName>
    <x:definedName name="prazo_anos">'Simulador'!$E$9</x:definedName>
    <x:definedName name="taxa_mensal">'Simulador'!$E$10</x:definedName>
    <x:definedName name="yield_mensal">'Simulador'!$E$11</x:definedName>
    <x:definedName name="perfil">'Simulador'!$E$12</x:definedName>
    <x:definedName name="percentual_aporte">'Simulador'!$E$13</x:definedName>
    <x:definedName name="aporte_sugerido">'Simulador'!$E$15</x:definedName>
    <x:definedName name="patrimonio">'Simulador'!$E$18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 &quot;#,##0.00;(&quot;R$ &quot;#,##0.00);&quot;R$ -&quot;"/>
    <x:numFmt numFmtId="201" formatCode="0.00%"/>
    <x:numFmt numFmtId="202" formatCode="0%"/>
  </x:numFmts>
  <x:fonts count="8">
    <x:font>
      <x:sz val="11"/>
      <x:name val="Carlito"/>
    </x:font>
    <x:font>
      <x:sz val="11"/>
      <x:color rgb="FF152B46"/>
      <x:name val="Calibri"/>
    </x:font>
    <x:font>
      <x:b/>
      <x:sz val="13"/>
      <x:color rgb="FFFFFFFF"/>
      <x:name val="Calibri"/>
    </x:font>
    <x:font>
      <x:sz val="11"/>
      <x:color rgb="FF2563EB"/>
      <x:name val="Calibri"/>
    </x:font>
    <x:font>
      <x:b/>
      <x:sz val="11"/>
      <x:color rgb="FF152B46"/>
      <x:name val="Calibri"/>
    </x:font>
    <x:font>
      <x:sz val="10"/>
      <x:color rgb="FF152B46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52B46"/>
      </x:patternFill>
    </x:fill>
    <x:fill>
      <x:patternFill patternType="solid">
        <x:fgColor rgb="FFFFF2CC"/>
      </x:patternFill>
    </x:fill>
    <x:fill>
      <x:patternFill patternType="solid">
        <x:fgColor rgb="FFE9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0" fontId="4" fillId="5" borderId="0" xfId="0" applyNumberFormat="1" applyFont="1" applyFill="1" applyBorder="1"/>
    <x:xf numFmtId="202" fontId="1" fillId="5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201" fontId="1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68f79c7e64411" /><Relationship Type="http://schemas.openxmlformats.org/officeDocument/2006/relationships/theme" Target="/xl/theme/theme1.xml" Id="R078759a406ab4125" /><Relationship Type="http://schemas.openxmlformats.org/officeDocument/2006/relationships/sharedStrings" Target="/xl/sharedStrings.xml" Id="Rf3b9f8f4a5154031" /><Relationship Type="http://schemas.openxmlformats.org/officeDocument/2006/relationships/worksheet" Target="/xl/worksheets/sheet1.xml" Id="Rc330c1603dd24827" /><Relationship Type="http://schemas.openxmlformats.org/officeDocument/2006/relationships/worksheet" Target="/xl/worksheets/sheet2.xml" Id="R4b69b5411eba48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5f7e365f0e4e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Participação por tipo de fundo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plotArea>
      <c:pieChart>
        <c:ser>
          <c:idx val="0"/>
          <c:order val="0"/>
          <c:tx>
            <c:v>Percentual</c:v>
          </c:tx>
          <c:cat>
            <c:strRef>
              <c:f>'Simulador'!$G$9:$G$14</c:f>
              <c:strCache>
                <c:ptCount val="0"/>
              </c:strCache>
            </c:strRef>
          </c:cat>
          <c:val>
            <c:numRef>
              <c:f>'Simulador'!$K$9:$K$14</c:f>
              <c:numCache>
                <c:formatCode>0%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5f7e365f0e4e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b3c7a75eea4ed7" /></Relationships>
</file>

<file path=xl/worksheets/sheet1.xml><?xml version="1.0" encoding="utf-8"?>
<x:worksheet xmlns:x="http://schemas.openxmlformats.org/spreadsheetml/2006/main">
  <x:sheetPr>
    <x:tabColor rgb="FF152B4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22" hidden="0" customWidth="1"/>
    <x:col min="6" max="6" width="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3" customHeight="1">
      <x:c r="A1" s="1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1"/>
      <x:c r="B2" s="5" t="str">
        <x:v>JSR FII — Simulador de investimentos</x:v>
      </x:c>
      <x:c r="C2" s="5" t="str">
        <x:v>JSR FII — Simulador de investimentos</x:v>
      </x:c>
      <x:c r="D2" s="5" t="str">
        <x:v>JSR FII — Simulador de investimentos</x:v>
      </x:c>
      <x:c r="E2" s="5" t="str">
        <x:v>JSR FII — Simulador de investimentos</x:v>
      </x:c>
      <x:c r="F2" s="5" t="str">
        <x:v>JSR FII — Simulador de investimentos</x:v>
      </x:c>
      <x:c r="G2" s="5" t="str">
        <x:v>JSR FII — Simulador de investimentos</x:v>
      </x:c>
      <x:c r="H2" s="5" t="str">
        <x:v>JSR FII — Simulador de investimentos</x:v>
      </x:c>
      <x:c r="I2" s="5" t="str">
        <x:v>JSR FII — Simulador de investimentos</x:v>
      </x:c>
      <x:c r="J2" s="5" t="str">
        <x:v>JSR FII — Simulador de investimentos</x:v>
      </x:c>
      <x:c r="K2" s="5" t="str">
        <x:v>JSR FII — Simulador de investimentos</x:v>
      </x:c>
      <x:c r="L2" s="5" t="str">
        <x:v>JSR FII — Simulador de investimentos</x:v>
      </x:c>
      <x:c r="M2" s="5" t="str">
        <x:v>JSR FII — Simulador de investimentos</x:v>
      </x:c>
      <x:c r="N2" s="5" t="str">
        <x:v>JSR FII — Simulador de investimentos</x:v>
      </x:c>
    </x:row>
    <x:row r="3" ht="23" customHeight="1">
      <x:c r="A3" s="1"/>
      <x:c r="B3" s="5" t="str">
        <x:v>JSR FII — Simulador de investimentos</x:v>
      </x:c>
      <x:c r="C3" s="5" t="str">
        <x:v>JSR FII — Simulador de investimentos</x:v>
      </x:c>
      <x:c r="D3" s="5" t="str">
        <x:v>JSR FII — Simulador de investimentos</x:v>
      </x:c>
      <x:c r="E3" s="5" t="str">
        <x:v>JSR FII — Simulador de investimentos</x:v>
      </x:c>
      <x:c r="F3" s="5" t="str">
        <x:v>JSR FII — Simulador de investimentos</x:v>
      </x:c>
      <x:c r="G3" s="5" t="str">
        <x:v>JSR FII — Simulador de investimentos</x:v>
      </x:c>
      <x:c r="H3" s="5" t="str">
        <x:v>JSR FII — Simulador de investimentos</x:v>
      </x:c>
      <x:c r="I3" s="5" t="str">
        <x:v>JSR FII — Simulador de investimentos</x:v>
      </x:c>
      <x:c r="J3" s="5" t="str">
        <x:v>JSR FII — Simulador de investimentos</x:v>
      </x:c>
      <x:c r="K3" s="5" t="str">
        <x:v>JSR FII — Simulador de investimentos</x:v>
      </x:c>
      <x:c r="L3" s="5" t="str">
        <x:v>JSR FII — Simulador de investimentos</x:v>
      </x:c>
      <x:c r="M3" s="5" t="str">
        <x:v>JSR FII — Simulador de investimentos</x:v>
      </x:c>
      <x:c r="N3" s="5" t="str">
        <x:v>JSR FII — Simulador de investimentos</x:v>
      </x:c>
    </x:row>
    <x:row r="4" ht="23" customHeight="1">
      <x:c r="A4" s="1"/>
      <x:c r="B4" s="2" t="str">
        <x:v>Edite as células amarelas. Células cinza contêm fórmulas. Valores fictícios em reais.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1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1"/>
      <x:c r="B6" s="5" t="str">
        <x:v>Configure sua simulação</x:v>
      </x:c>
      <x:c r="C6" s="5" t="str">
        <x:v>Configure sua simulação</x:v>
      </x:c>
      <x:c r="D6" s="5" t="str">
        <x:v>Configure sua simulação</x:v>
      </x:c>
      <x:c r="E6" s="5" t="str">
        <x:v>Configure sua simulação</x:v>
      </x:c>
      <x:c r="F6" s="2"/>
      <x:c r="G6" s="5" t="str">
        <x:v>Divisão do aporte pelo perfil</x:v>
      </x:c>
      <x:c r="H6" s="5" t="str">
        <x:v>Divisão do aporte pelo perfil</x:v>
      </x:c>
      <x:c r="I6" s="5" t="str">
        <x:v>Divisão do aporte pelo perfil</x:v>
      </x:c>
      <x:c r="J6" s="5" t="str">
        <x:v>Divisão do aporte pelo perfil</x:v>
      </x:c>
      <x:c r="K6" s="5" t="str">
        <x:v>Divisão do aporte pelo perfil</x:v>
      </x:c>
      <x:c r="L6" s="5" t="str">
        <x:v>Divisão do aporte pelo perfil</x:v>
      </x:c>
      <x:c r="M6" s="5" t="str">
        <x:v>Divisão do aporte pelo perfil</x:v>
      </x:c>
      <x:c r="N6" s="5" t="str">
        <x:v>Divisão do aporte pelo perfil</x:v>
      </x:c>
    </x:row>
    <x:row r="7" ht="23" customHeight="1">
      <x:c r="A7" s="1"/>
      <x:c r="B7" s="2" t="str">
        <x:v>Salário mensal (R$)</x:v>
      </x:c>
      <x:c r="C7" s="2"/>
      <x:c r="D7" s="2"/>
      <x:c r="E7" s="8" t="n">
        <x:v>5000</x:v>
      </x:c>
      <x:c r="F7" s="2"/>
      <x:c r="G7" s="2" t="str">
        <x:f>"Perfil selecionado: "&amp;perfil</x:f>
        <x:v>Perfil selecionado: Moderado</x:v>
      </x:c>
      <x:c r="H7" s="2"/>
      <x:c r="I7" s="2"/>
      <x:c r="J7" s="2"/>
      <x:c r="K7" s="2"/>
      <x:c r="L7" s="2"/>
      <x:c r="M7" s="2"/>
      <x:c r="N7" s="2"/>
    </x:row>
    <x:row r="8" ht="23" customHeight="1">
      <x:c r="A8" s="1"/>
      <x:c r="B8" s="2" t="str">
        <x:v>Aporte mensal (R$)</x:v>
      </x:c>
      <x:c r="C8" s="2"/>
      <x:c r="D8" s="2"/>
      <x:c r="E8" s="8" t="n">
        <x:v>500</x:v>
      </x:c>
      <x:c r="F8" s="2"/>
      <x:c r="G8" s="21" t="str">
        <x:v>Tipo de fundo</x:v>
      </x:c>
      <x:c r="H8" s="21"/>
      <x:c r="I8" s="21"/>
      <x:c r="J8" s="21"/>
      <x:c r="K8" s="21" t="str">
        <x:v>Percentual</x:v>
      </x:c>
      <x:c r="L8" s="21"/>
      <x:c r="M8" s="21" t="str">
        <x:v>Aporte (R$)</x:v>
      </x:c>
      <x:c r="N8" s="21"/>
    </x:row>
    <x:row r="9" ht="23" customHeight="1">
      <x:c r="A9" s="1"/>
      <x:c r="B9" s="2" t="str">
        <x:v>Prazo (anos)</x:v>
      </x:c>
      <x:c r="C9" s="2"/>
      <x:c r="D9" s="2"/>
      <x:c r="E9" s="7" t="n">
        <x:v>10</x:v>
      </x:c>
      <x:c r="F9" s="2"/>
      <x:c r="G9" s="2" t="str">
        <x:v>Papel</x:v>
      </x:c>
      <x:c r="H9" s="2"/>
      <x:c r="I9" s="2"/>
      <x:c r="J9" s="2"/>
      <x:c r="K9" s="14" t="n">
        <x:f>VLOOKUP(perfil&amp;"|"&amp;G9,'Apoio'!$B$7:$E$24,4,FALSE)</x:f>
        <x:v>0.3</x:v>
      </x:c>
      <x:c r="L9" s="14"/>
      <x:c r="M9" s="12" t="n">
        <x:f>aporte*K9</x:f>
        <x:v>150</x:v>
      </x:c>
      <x:c r="N9" s="12"/>
    </x:row>
    <x:row r="10" ht="23" customHeight="1">
      <x:c r="A10" s="1"/>
      <x:c r="B10" s="2" t="str">
        <x:v>Rendimento mensal</x:v>
      </x:c>
      <x:c r="C10" s="2"/>
      <x:c r="D10" s="2"/>
      <x:c r="E10" s="9" t="n">
        <x:v>0.008</x:v>
      </x:c>
      <x:c r="F10" s="2"/>
      <x:c r="G10" s="2" t="str">
        <x:v>Tijolo</x:v>
      </x:c>
      <x:c r="H10" s="2"/>
      <x:c r="I10" s="2"/>
      <x:c r="J10" s="2"/>
      <x:c r="K10" s="14" t="n">
        <x:f>VLOOKUP(perfil&amp;"|"&amp;G10,'Apoio'!$B$7:$E$24,4,FALSE)</x:f>
        <x:v>0.3</x:v>
      </x:c>
      <x:c r="L10" s="14"/>
      <x:c r="M10" s="12" t="n">
        <x:f>aporte*K10</x:f>
        <x:v>150</x:v>
      </x:c>
      <x:c r="N10" s="12"/>
    </x:row>
    <x:row r="11" ht="23" customHeight="1">
      <x:c r="A11" s="1"/>
      <x:c r="B11" s="2" t="str">
        <x:v>Dividend yield mensal</x:v>
      </x:c>
      <x:c r="C11" s="2"/>
      <x:c r="D11" s="2"/>
      <x:c r="E11" s="9" t="n">
        <x:v>0.006</x:v>
      </x:c>
      <x:c r="F11" s="2"/>
      <x:c r="G11" s="2" t="str">
        <x:v>Híbridos</x:v>
      </x:c>
      <x:c r="H11" s="2"/>
      <x:c r="I11" s="2"/>
      <x:c r="J11" s="2"/>
      <x:c r="K11" s="14" t="n">
        <x:f>VLOOKUP(perfil&amp;"|"&amp;G11,'Apoio'!$B$7:$E$24,4,FALSE)</x:f>
        <x:v>0.15</x:v>
      </x:c>
      <x:c r="L11" s="14"/>
      <x:c r="M11" s="12" t="n">
        <x:f>aporte*K11</x:f>
        <x:v>75</x:v>
      </x:c>
      <x:c r="N11" s="12"/>
    </x:row>
    <x:row r="12" ht="23" customHeight="1">
      <x:c r="A12" s="1"/>
      <x:c r="B12" s="2" t="str">
        <x:v>Perfil</x:v>
      </x:c>
      <x:c r="C12" s="2"/>
      <x:c r="D12" s="2"/>
      <x:c r="E12" s="7" t="str">
        <x:v>Moderado</x:v>
      </x:c>
      <x:c r="F12" s="2"/>
      <x:c r="G12" s="2" t="str">
        <x:v>FOFs</x:v>
      </x:c>
      <x:c r="H12" s="2"/>
      <x:c r="I12" s="2"/>
      <x:c r="J12" s="2"/>
      <x:c r="K12" s="14" t="n">
        <x:f>VLOOKUP(perfil&amp;"|"&amp;G12,'Apoio'!$B$7:$E$24,4,FALSE)</x:f>
        <x:v>0.15</x:v>
      </x:c>
      <x:c r="L12" s="14"/>
      <x:c r="M12" s="12" t="n">
        <x:f>aporte*K12</x:f>
        <x:v>75</x:v>
      </x:c>
      <x:c r="N12" s="12"/>
    </x:row>
    <x:row r="13" ht="23" customHeight="1">
      <x:c r="A13" s="1"/>
      <x:c r="B13" s="2" t="str">
        <x:v>Sugestão do salário</x:v>
      </x:c>
      <x:c r="C13" s="2"/>
      <x:c r="D13" s="2"/>
      <x:c r="E13" s="10" t="n">
        <x:v>0.3</x:v>
      </x:c>
      <x:c r="F13" s="2"/>
      <x:c r="G13" s="2" t="str">
        <x:v>Desenvolvimento</x:v>
      </x:c>
      <x:c r="H13" s="2"/>
      <x:c r="I13" s="2"/>
      <x:c r="J13" s="2"/>
      <x:c r="K13" s="14" t="n">
        <x:f>VLOOKUP(perfil&amp;"|"&amp;G13,'Apoio'!$B$7:$E$24,4,FALSE)</x:f>
        <x:v>0.05</x:v>
      </x:c>
      <x:c r="L13" s="14"/>
      <x:c r="M13" s="12" t="n">
        <x:f>aporte*K13</x:f>
        <x:v>25</x:v>
      </x:c>
      <x:c r="N13" s="12"/>
    </x:row>
    <x:row r="14" ht="23" customHeight="1">
      <x:c r="A14" s="1"/>
      <x:c r="B14" s="2"/>
      <x:c r="C14" s="2"/>
      <x:c r="D14" s="2"/>
      <x:c r="E14" s="2"/>
      <x:c r="F14" s="2"/>
      <x:c r="G14" s="2" t="str">
        <x:v>Hotelaria</x:v>
      </x:c>
      <x:c r="H14" s="2"/>
      <x:c r="I14" s="2"/>
      <x:c r="J14" s="2"/>
      <x:c r="K14" s="14" t="n">
        <x:f>VLOOKUP(perfil&amp;"|"&amp;G14,'Apoio'!$B$7:$E$24,4,FALSE)</x:f>
        <x:v>0.05</x:v>
      </x:c>
      <x:c r="L14" s="14"/>
      <x:c r="M14" s="12" t="n">
        <x:f>aporte*K14</x:f>
        <x:v>25</x:v>
      </x:c>
      <x:c r="N14" s="12"/>
    </x:row>
    <x:row r="15" ht="23" customHeight="1">
      <x:c r="A15" s="1"/>
      <x:c r="B15" s="2" t="str">
        <x:v>Aporte sugerido (R$)</x:v>
      </x:c>
      <x:c r="C15" s="2"/>
      <x:c r="D15" s="2"/>
      <x:c r="E15" s="12" t="n">
        <x:f>salario*percentual_aporte</x:f>
        <x:v>1500</x:v>
      </x:c>
      <x:c r="F15" s="2"/>
      <x:c r="G15" s="2" t="str">
        <x:v>Total</x:v>
      </x:c>
      <x:c r="H15" s="2"/>
      <x:c r="I15" s="2"/>
      <x:c r="J15" s="2"/>
      <x:c r="K15" s="14" t="n">
        <x:f>SUM(K9:K14)</x:f>
        <x:v>1</x:v>
      </x:c>
      <x:c r="L15" s="14"/>
      <x:c r="M15" s="12" t="n">
        <x:f>SUM(M9:M14)</x:f>
        <x:v>500</x:v>
      </x:c>
      <x:c r="N15" s="12"/>
    </x:row>
    <x:row r="16" ht="23" customHeight="1">
      <x:c r="A16" s="1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1"/>
      <x:c r="B17" s="5" t="str">
        <x:v>Resultado no prazo escolhido</x:v>
      </x:c>
      <x:c r="C17" s="5" t="str">
        <x:v>Resultado no prazo escolhido</x:v>
      </x:c>
      <x:c r="D17" s="5" t="str">
        <x:v>Resultado no prazo escolhido</x:v>
      </x:c>
      <x:c r="E17" s="5" t="str">
        <x:v>Resultado no prazo escolhido</x:v>
      </x:c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1"/>
      <x:c r="B18" s="2" t="str">
        <x:v>Patrimônio acumulado</x:v>
      </x:c>
      <x:c r="C18" s="2"/>
      <x:c r="D18" s="2"/>
      <x:c r="E18" s="13" t="n">
        <x:f>FV(taxa_mensal,prazo_anos*12,-aporte,0,0)</x:f>
        <x:v>100108.73470495835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3" customHeight="1">
      <x:c r="A19" s="1"/>
      <x:c r="B19" s="2" t="str">
        <x:v>Dividendos por mês</x:v>
      </x:c>
      <x:c r="C19" s="2"/>
      <x:c r="D19" s="2"/>
      <x:c r="E19" s="13" t="n">
        <x:f>patrimonio*yield_mensal</x:f>
        <x:v>600.6524082297501</x:v>
      </x:c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1"/>
      <x:c r="B20" s="2" t="str">
        <x:v>Total aportado</x:v>
      </x:c>
      <x:c r="C20" s="2"/>
      <x:c r="D20" s="2"/>
      <x:c r="E20" s="12" t="n">
        <x:f>aporte*prazo_anos*12</x:f>
        <x:v>60000</x:v>
      </x:c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1"/>
      <x:c r="B21" s="2" t="str">
        <x:v>Rendimentos acumulados</x:v>
      </x:c>
      <x:c r="C21" s="2"/>
      <x:c r="D21" s="2"/>
      <x:c r="E21" s="12" t="n">
        <x:f>E18-E20</x:f>
        <x:v>40108.73470495835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1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3" customHeight="1">
      <x:c r="A23" s="1"/>
      <x:c r="B23" s="5" t="str">
        <x:v>Se investir o aporte sugerido</x:v>
      </x:c>
      <x:c r="C23" s="5" t="str">
        <x:v>Se investir o aporte sugerido</x:v>
      </x:c>
      <x:c r="D23" s="5" t="str">
        <x:v>Se investir o aporte sugerido</x:v>
      </x:c>
      <x:c r="E23" s="5" t="str">
        <x:v>Se investir o aporte sugerido</x:v>
      </x:c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3" customHeight="1">
      <x:c r="A24" s="1"/>
      <x:c r="B24" s="2" t="str">
        <x:v>Patrimônio acumulado</x:v>
      </x:c>
      <x:c r="C24" s="2"/>
      <x:c r="D24" s="2"/>
      <x:c r="E24" s="12" t="n">
        <x:f>FV(taxa_mensal,prazo_anos*12,-aporte_sugerido,0,0)</x:f>
        <x:v>300326.20411487506</x:v>
      </x:c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1"/>
      <x:c r="B25" s="2" t="str">
        <x:v>Dividendos por mês</x:v>
      </x:c>
      <x:c r="C25" s="2"/>
      <x:c r="D25" s="2"/>
      <x:c r="E25" s="12" t="n">
        <x:f>E24*yield_mensal</x:f>
        <x:v>1801.9572246892503</x:v>
      </x:c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1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1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3" customHeight="1">
      <x:c r="A28" s="1"/>
      <x:c r="B28" s="5" t="str">
        <x:v>Projeções por prazo</x:v>
      </x:c>
      <x:c r="C28" s="5" t="str">
        <x:v>Projeções por prazo</x:v>
      </x:c>
      <x:c r="D28" s="5" t="str">
        <x:v>Projeções por prazo</x:v>
      </x:c>
      <x:c r="E28" s="5" t="str">
        <x:v>Projeções por prazo</x:v>
      </x:c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6" customHeight="1">
      <x:c r="A29" s="1"/>
      <x:c r="B29" s="24" t="str">
        <x:v>Anos</x:v>
      </x:c>
      <x:c r="C29" s="24" t="str">
        <x:v>Total aportado</x:v>
      </x:c>
      <x:c r="D29" s="24" t="str">
        <x:v>Patrimônio (R$)</x:v>
      </x:c>
      <x:c r="E29" s="24" t="str">
        <x:v>Dividendos/mês</x:v>
      </x:c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1"/>
      <x:c r="B30" s="2" t="n">
        <x:v>2</x:v>
      </x:c>
      <x:c r="C30" s="12" t="n">
        <x:f>$E$8*B30*12</x:f>
        <x:v>12000</x:v>
      </x:c>
      <x:c r="D30" s="12" t="n">
        <x:f>FV($E$10,B30*12,-$E$8,0,0)</x:f>
        <x:v>13171.577555559712</x:v>
      </x:c>
      <x:c r="E30" s="12" t="n">
        <x:f>D30*$E$11</x:f>
        <x:v>79.02946533335827</x:v>
      </x:c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1"/>
      <x:c r="B31" s="2" t="n">
        <x:v>5</x:v>
      </x:c>
      <x:c r="C31" s="12" t="n">
        <x:f>$E$8*B31*12</x:f>
        <x:v>30000</x:v>
      </x:c>
      <x:c r="D31" s="12" t="n">
        <x:f>FV($E$10,B31*12,-$E$8,0,0)</x:f>
        <x:v>38311.933415939886</x:v>
      </x:c>
      <x:c r="E31" s="12" t="n">
        <x:f>D31*$E$11</x:f>
        <x:v>229.8716004956393</x:v>
      </x:c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1"/>
      <x:c r="B32" s="2" t="n">
        <x:v>10</x:v>
      </x:c>
      <x:c r="C32" s="12" t="n">
        <x:f>$E$8*B32*12</x:f>
        <x:v>60000</x:v>
      </x:c>
      <x:c r="D32" s="12" t="n">
        <x:f>FV($E$10,B32*12,-$E$8,0,0)</x:f>
        <x:v>100108.73470495835</x:v>
      </x:c>
      <x:c r="E32" s="12" t="n">
        <x:f>D32*$E$11</x:f>
        <x:v>600.6524082297501</x:v>
      </x:c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1"/>
      <x:c r="B33" s="2" t="n">
        <x:v>20</x:v>
      </x:c>
      <x:c r="C33" s="12" t="n">
        <x:f>$E$8*B33*12</x:f>
        <x:v>120000</x:v>
      </x:c>
      <x:c r="D33" s="12" t="n">
        <x:f>FV($E$10,B33*12,-$E$8,0,0)</x:f>
        <x:v>360565.60963756044</x:v>
      </x:c>
      <x:c r="E33" s="12" t="n">
        <x:f>D33*$E$11</x:f>
        <x:v>2163.393657825363</x:v>
      </x:c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1"/>
      <x:c r="B34" s="2" t="n">
        <x:v>30</x:v>
      </x:c>
      <x:c r="C34" s="12" t="n">
        <x:f>$E$8*B34*12</x:f>
        <x:v>180000</x:v>
      </x:c>
      <x:c r="D34" s="12" t="n">
        <x:f>FV($E$10,B34*12,-$E$8,0,0)</x:f>
        <x:v>1038206.6156855285</x:v>
      </x:c>
      <x:c r="E34" s="12" t="n">
        <x:f>D34*$E$11</x:f>
        <x:v>6229.239694113171</x:v>
      </x:c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1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1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1"/>
      <x:c r="B37" s="16" t="str">
        <x:v>Premissas: aporte ao fim de cada mês, saldo inicial zero e rendimentos reinvestidos.</x:v>
      </x:c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</x:row>
    <x:row r="38" ht="23" customHeight="1">
      <x:c r="A38" s="1"/>
      <x:c r="B38" s="16" t="str">
        <x:v>Taxa mensal constante. Dividendos estimados = patrimônio final × dividend yield mensal.</x:v>
      </x:c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</x:row>
    <x:row r="39" ht="23" customHeight="1">
      <x:c r="A39" s="1"/>
      <x:c r="B39" s="16" t="str">
        <x:v>Valores nominais. A simulação não inclui inflação, custos, impostos ou variação das cotas.</x:v>
      </x:c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</x:row>
    <x:row r="40" ht="23" customHeight="1">
      <x:c r="A40" s="1"/>
      <x:c r="B40" s="16" t="str">
        <x:v>Perfis e taxas são exemplos didáticos, sem recomendação de investimento.</x:v>
      </x:c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</x:row>
    <x:row r="41" ht="23" customHeight="1">
      <x:c r="A41" s="1"/>
      <x:c r="B41" s="16" t="str">
        <x:v>As taxas de rendimento e de dividendos são independentes e podem ser alteradas.</x:v>
      </x:c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</x:row>
    <x:row r="42" ht="23" customHeight="1">
      <x:c r="A42" s="1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1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</x:sheetData>
  <x:mergeCells>
    <x:mergeCell ref="B2:N3"/>
    <x:mergeCell ref="B4:N4"/>
    <x:mergeCell ref="B6:E6"/>
    <x:mergeCell ref="B17:E17"/>
    <x:mergeCell ref="B23:E23"/>
    <x:mergeCell ref="G6:N6"/>
    <x:mergeCell ref="G7:N7"/>
    <x:mergeCell ref="G8:J8"/>
    <x:mergeCell ref="K8:L8"/>
    <x:mergeCell ref="M8:N8"/>
    <x:mergeCell ref="G9:J9"/>
    <x:mergeCell ref="K9:L9"/>
    <x:mergeCell ref="M9:N9"/>
    <x:mergeCell ref="G10:J10"/>
    <x:mergeCell ref="K10:L10"/>
    <x:mergeCell ref="M10:N10"/>
    <x:mergeCell ref="G11:J11"/>
    <x:mergeCell ref="K11:L11"/>
    <x:mergeCell ref="M11:N11"/>
    <x:mergeCell ref="G12:J12"/>
    <x:mergeCell ref="K12:L12"/>
    <x:mergeCell ref="M12:N12"/>
    <x:mergeCell ref="G13:J13"/>
    <x:mergeCell ref="K13:L13"/>
    <x:mergeCell ref="M13:N13"/>
    <x:mergeCell ref="G14:J14"/>
    <x:mergeCell ref="K14:L14"/>
    <x:mergeCell ref="M14:N14"/>
    <x:mergeCell ref="G15:J15"/>
    <x:mergeCell ref="K15:L15"/>
    <x:mergeCell ref="M15:N15"/>
    <x:mergeCell ref="B28:E28"/>
    <x:mergeCell ref="B37:N37"/>
    <x:mergeCell ref="B38:N38"/>
    <x:mergeCell ref="B39:N39"/>
    <x:mergeCell ref="B40:N40"/>
    <x:mergeCell ref="B41:N41"/>
  </x:mergeCells>
  <x:dataValidations count="5">
    <x:dataValidation type="list" sqref="E12">
      <x:formula1>"Conservador,Moderado,Arrojado"</x:formula1>
    </x:dataValidation>
    <x:dataValidation type="decimal" operator="between" sqref="E7:E8">
      <x:formula1>0</x:formula1>
      <x:formula2>100000000</x:formula2>
    </x:dataValidation>
    <x:dataValidation type="whole" operator="between" sqref="E9">
      <x:formula1>0</x:formula1>
      <x:formula2>100</x:formula2>
    </x:dataValidation>
    <x:dataValidation type="decimal" operator="between" sqref="E10:E11">
      <x:formula1>0</x:formula1>
      <x:formula2>1</x:formula2>
    </x:dataValidation>
    <x:dataValidation type="decimal" operator="between" sqref="E13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81b3c7a75eea4ed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22" hidden="0" customWidth="1"/>
    <x:col min="4" max="4" width="22" hidden="0" customWidth="1"/>
    <x:col min="5" max="5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1"/>
      <x:c r="B2" s="5" t="str">
        <x:v>Apoio — percentuais por perfil</x:v>
      </x:c>
      <x:c r="C2" s="5" t="str">
        <x:v>Apoio — percentuais por perfil</x:v>
      </x:c>
      <x:c r="D2" s="5" t="str">
        <x:v>Apoio — percentuais por perfil</x:v>
      </x:c>
      <x:c r="E2" s="5" t="str">
        <x:v>Apoio — percentuais por perfil</x:v>
      </x:c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/>
      <x:c r="B3" s="5" t="str">
        <x:v>Apoio — percentuais por perfil</x:v>
      </x:c>
      <x:c r="C3" s="5" t="str">
        <x:v>Apoio — percentuais por perfil</x:v>
      </x:c>
      <x:c r="D3" s="5" t="str">
        <x:v>Apoio — percentuais por perfil</x:v>
      </x:c>
      <x:c r="E3" s="5" t="str">
        <x:v>Apoio — percentuais por perfil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 t="str">
        <x:v>Fonte: percentuais fictícios criados para este projeto. Cada perfil soma 100%.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21" t="str">
        <x:v>Chave composta</x:v>
      </x:c>
      <x:c r="C6" s="21" t="str">
        <x:v>Perfil</x:v>
      </x:c>
      <x:c r="D6" s="21" t="str">
        <x:v>Tipo de fundo</x:v>
      </x:c>
      <x:c r="E6" s="21" t="str">
        <x:v>Percentual</x:v>
      </x:c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/>
      <x:c r="B7" s="11" t="str">
        <x:f>C7&amp;"|"&amp;D7</x:f>
        <x:v>Conservador|Papel</x:v>
      </x:c>
      <x:c r="C7" s="7" t="str">
        <x:v>Conservador</x:v>
      </x:c>
      <x:c r="D7" s="7" t="str">
        <x:v>Papel</x:v>
      </x:c>
      <x:c r="E7" s="10" t="n">
        <x:v>0.4</x:v>
      </x:c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/>
      <x:c r="B8" s="11" t="str">
        <x:f>C8&amp;"|"&amp;D8</x:f>
        <x:v>Conservador|Tijolo</x:v>
      </x:c>
      <x:c r="C8" s="7" t="str">
        <x:v>Conservador</x:v>
      </x:c>
      <x:c r="D8" s="7" t="str">
        <x:v>Tijolo</x:v>
      </x:c>
      <x:c r="E8" s="10" t="n">
        <x:v>0.4</x:v>
      </x:c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/>
      <x:c r="B9" s="11" t="str">
        <x:f>C9&amp;"|"&amp;D9</x:f>
        <x:v>Conservador|Híbridos</x:v>
      </x:c>
      <x:c r="C9" s="7" t="str">
        <x:v>Conservador</x:v>
      </x:c>
      <x:c r="D9" s="7" t="str">
        <x:v>Híbridos</x:v>
      </x:c>
      <x:c r="E9" s="10" t="n">
        <x:v>0.1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/>
      <x:c r="B10" s="11" t="str">
        <x:f>C10&amp;"|"&amp;D10</x:f>
        <x:v>Conservador|FOFs</x:v>
      </x:c>
      <x:c r="C10" s="7" t="str">
        <x:v>Conservador</x:v>
      </x:c>
      <x:c r="D10" s="7" t="str">
        <x:v>FOFs</x:v>
      </x:c>
      <x:c r="E10" s="10" t="n">
        <x:v>0.1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/>
      <x:c r="B11" s="11" t="str">
        <x:f>C11&amp;"|"&amp;D11</x:f>
        <x:v>Conservador|Desenvolvimento</x:v>
      </x:c>
      <x:c r="C11" s="7" t="str">
        <x:v>Conservador</x:v>
      </x:c>
      <x:c r="D11" s="7" t="str">
        <x:v>Desenvolvimento</x:v>
      </x:c>
      <x:c r="E11" s="10" t="n">
        <x:v>0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1" t="str">
        <x:f>C12&amp;"|"&amp;D12</x:f>
        <x:v>Conservador|Hotelaria</x:v>
      </x:c>
      <x:c r="C12" s="7" t="str">
        <x:v>Conservador</x:v>
      </x:c>
      <x:c r="D12" s="7" t="str">
        <x:v>Hotelaria</x:v>
      </x:c>
      <x:c r="E12" s="10" t="n">
        <x:v>0</x:v>
      </x:c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1" t="str">
        <x:f>C13&amp;"|"&amp;D13</x:f>
        <x:v>Moderado|Papel</x:v>
      </x:c>
      <x:c r="C13" s="7" t="str">
        <x:v>Moderado</x:v>
      </x:c>
      <x:c r="D13" s="7" t="str">
        <x:v>Papel</x:v>
      </x:c>
      <x:c r="E13" s="10" t="n">
        <x:v>0.3</x:v>
      </x:c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1" t="str">
        <x:f>C14&amp;"|"&amp;D14</x:f>
        <x:v>Moderado|Tijolo</x:v>
      </x:c>
      <x:c r="C14" s="7" t="str">
        <x:v>Moderado</x:v>
      </x:c>
      <x:c r="D14" s="7" t="str">
        <x:v>Tijolo</x:v>
      </x:c>
      <x:c r="E14" s="10" t="n">
        <x:v>0.3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1" t="str">
        <x:f>C15&amp;"|"&amp;D15</x:f>
        <x:v>Moderado|Híbridos</x:v>
      </x:c>
      <x:c r="C15" s="7" t="str">
        <x:v>Moderado</x:v>
      </x:c>
      <x:c r="D15" s="7" t="str">
        <x:v>Híbridos</x:v>
      </x:c>
      <x:c r="E15" s="10" t="n">
        <x:v>0.15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1" t="str">
        <x:f>C16&amp;"|"&amp;D16</x:f>
        <x:v>Moderado|FOFs</x:v>
      </x:c>
      <x:c r="C16" s="7" t="str">
        <x:v>Moderado</x:v>
      </x:c>
      <x:c r="D16" s="7" t="str">
        <x:v>FOFs</x:v>
      </x:c>
      <x:c r="E16" s="10" t="n">
        <x:v>0.15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1" t="str">
        <x:f>C17&amp;"|"&amp;D17</x:f>
        <x:v>Moderado|Desenvolvimento</x:v>
      </x:c>
      <x:c r="C17" s="7" t="str">
        <x:v>Moderado</x:v>
      </x:c>
      <x:c r="D17" s="7" t="str">
        <x:v>Desenvolvimento</x:v>
      </x:c>
      <x:c r="E17" s="10" t="n">
        <x:v>0.05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1" t="str">
        <x:f>C18&amp;"|"&amp;D18</x:f>
        <x:v>Moderado|Hotelaria</x:v>
      </x:c>
      <x:c r="C18" s="7" t="str">
        <x:v>Moderado</x:v>
      </x:c>
      <x:c r="D18" s="7" t="str">
        <x:v>Hotelaria</x:v>
      </x:c>
      <x:c r="E18" s="10" t="n">
        <x:v>0.05</x:v>
      </x:c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1" t="str">
        <x:f>C19&amp;"|"&amp;D19</x:f>
        <x:v>Arrojado|Papel</x:v>
      </x:c>
      <x:c r="C19" s="7" t="str">
        <x:v>Arrojado</x:v>
      </x:c>
      <x:c r="D19" s="7" t="str">
        <x:v>Papel</x:v>
      </x:c>
      <x:c r="E19" s="10" t="n">
        <x:v>0.15</x:v>
      </x:c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1" t="str">
        <x:f>C20&amp;"|"&amp;D20</x:f>
        <x:v>Arrojado|Tijolo</x:v>
      </x:c>
      <x:c r="C20" s="7" t="str">
        <x:v>Arrojado</x:v>
      </x:c>
      <x:c r="D20" s="7" t="str">
        <x:v>Tijolo</x:v>
      </x:c>
      <x:c r="E20" s="10" t="n">
        <x:v>0.25</x:v>
      </x:c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1" t="str">
        <x:f>C21&amp;"|"&amp;D21</x:f>
        <x:v>Arrojado|Híbridos</x:v>
      </x:c>
      <x:c r="C21" s="7" t="str">
        <x:v>Arrojado</x:v>
      </x:c>
      <x:c r="D21" s="7" t="str">
        <x:v>Híbridos</x:v>
      </x:c>
      <x:c r="E21" s="10" t="n">
        <x:v>0.15</x:v>
      </x:c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1" t="str">
        <x:f>C22&amp;"|"&amp;D22</x:f>
        <x:v>Arrojado|FOFs</x:v>
      </x:c>
      <x:c r="C22" s="7" t="str">
        <x:v>Arrojado</x:v>
      </x:c>
      <x:c r="D22" s="7" t="str">
        <x:v>FOFs</x:v>
      </x:c>
      <x:c r="E22" s="10" t="n">
        <x:v>0.15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1" t="str">
        <x:f>C23&amp;"|"&amp;D23</x:f>
        <x:v>Arrojado|Desenvolvimento</x:v>
      </x:c>
      <x:c r="C23" s="7" t="str">
        <x:v>Arrojado</x:v>
      </x:c>
      <x:c r="D23" s="7" t="str">
        <x:v>Desenvolvimento</x:v>
      </x:c>
      <x:c r="E23" s="10" t="n">
        <x:v>0.2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1" t="str">
        <x:f>C24&amp;"|"&amp;D24</x:f>
        <x:v>Arrojado|Hotelaria</x:v>
      </x:c>
      <x:c r="C24" s="7" t="str">
        <x:v>Arrojado</x:v>
      </x:c>
      <x:c r="D24" s="7" t="str">
        <x:v>Hotelaria</x:v>
      </x:c>
      <x:c r="E24" s="10" t="n">
        <x:v>0.1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21" t="str">
        <x:v>Perfil</x:v>
      </x:c>
      <x:c r="D27" s="21" t="str">
        <x:v>Soma</x:v>
      </x:c>
      <x:c r="E27" s="21" t="str">
        <x:v>Diferença de 100%</x:v>
      </x:c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 t="str">
        <x:v>Conservador</x:v>
      </x:c>
      <x:c r="D28" s="19" t="n">
        <x:f>SUMIF($C$7:$C$24,C28,$E$7:$E$24)</x:f>
        <x:v>1</x:v>
      </x:c>
      <x:c r="E28" s="19" t="n">
        <x:f>D28-1</x:f>
        <x:v>0</x:v>
      </x:c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 t="str">
        <x:v>Moderado</x:v>
      </x:c>
      <x:c r="D29" s="19" t="n">
        <x:f>SUMIF($C$7:$C$24,C29,$E$7:$E$24)</x:f>
        <x:v>1</x:v>
      </x:c>
      <x:c r="E29" s="19" t="n">
        <x:f>D29-1</x:f>
        <x:v>0</x:v>
      </x:c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 t="str">
        <x:v>Arrojado</x:v>
      </x:c>
      <x:c r="D30" s="19" t="n">
        <x:f>SUMIF($C$7:$C$24,C30,$E$7:$E$24)</x:f>
        <x:v>1.0000000000000002</x:v>
      </x:c>
      <x:c r="E30" s="19" t="n">
        <x:f>D30-1</x:f>
        <x:v>2.220446049250313e-16</x:v>
      </x:c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</x:sheetData>
  <x:mergeCells>
    <x:mergeCell ref="B2:E3"/>
    <x:mergeCell ref="B4:F4"/>
  </x:mergeCells>
  <x:pageMargins left="0.7" right="0.7" top="0.75" bottom="0.75" header="0.3" footer="0.3"/>
</x:worksheet>
</file>